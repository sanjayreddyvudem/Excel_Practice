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odha\Downloads\"/>
    </mc:Choice>
  </mc:AlternateContent>
  <xr:revisionPtr revIDLastSave="0" documentId="13_ncr:1_{51670AB6-95EA-4939-AAE2-4DE6CA3F56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solver_adj" localSheetId="0" hidden="1">Sheet1!$C$4:$C$15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Sheet1!$I$5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Sheet1!$G$5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250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D16" i="1"/>
  <c r="D5" i="1"/>
  <c r="D6" i="1"/>
  <c r="D7" i="1"/>
  <c r="D8" i="1"/>
  <c r="D9" i="1"/>
  <c r="D10" i="1"/>
  <c r="D11" i="1"/>
  <c r="D12" i="1"/>
  <c r="D13" i="1"/>
  <c r="D14" i="1"/>
  <c r="D15" i="1"/>
  <c r="D4" i="1"/>
  <c r="I12" i="1"/>
  <c r="H12" i="1"/>
  <c r="G12" i="1"/>
  <c r="G5" i="1"/>
  <c r="C5" i="1"/>
  <c r="C6" i="1"/>
  <c r="C7" i="1"/>
  <c r="C8" i="1"/>
  <c r="C9" i="1"/>
  <c r="C10" i="1"/>
  <c r="C11" i="1"/>
  <c r="C12" i="1"/>
  <c r="C13" i="1"/>
  <c r="C14" i="1"/>
  <c r="C15" i="1"/>
  <c r="C4" i="1"/>
  <c r="B16" i="1"/>
  <c r="I5" i="1" l="1"/>
</calcChain>
</file>

<file path=xl/sharedStrings.xml><?xml version="1.0" encoding="utf-8"?>
<sst xmlns="http://schemas.openxmlformats.org/spreadsheetml/2006/main" count="24" uniqueCount="24">
  <si>
    <t>States</t>
  </si>
  <si>
    <t>Tickets sold</t>
  </si>
  <si>
    <t>total earning</t>
  </si>
  <si>
    <t>Mumbai</t>
  </si>
  <si>
    <t>Chennai</t>
  </si>
  <si>
    <t>Delhi</t>
  </si>
  <si>
    <t>Jaipur</t>
  </si>
  <si>
    <t>Kolkatta</t>
  </si>
  <si>
    <t>Pune</t>
  </si>
  <si>
    <t>Hyderabad</t>
  </si>
  <si>
    <t>Lucknow</t>
  </si>
  <si>
    <t>Rajkot</t>
  </si>
  <si>
    <t>Ranchi</t>
  </si>
  <si>
    <t>Mohali</t>
  </si>
  <si>
    <t>Noida</t>
  </si>
  <si>
    <t xml:space="preserve"> </t>
  </si>
  <si>
    <t xml:space="preserve">Total sold ticket </t>
  </si>
  <si>
    <t>Average Ticket Price</t>
  </si>
  <si>
    <t>Total Earning in all cities</t>
  </si>
  <si>
    <t>Max tickets sold</t>
  </si>
  <si>
    <t>min tickets sold</t>
  </si>
  <si>
    <t>Average reveneue generated</t>
  </si>
  <si>
    <t>Revenue %</t>
  </si>
  <si>
    <t>aversge tickt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</si>
</sst>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0" fontId="3" fillId="0" borderId="0" xfId="0" applyFont="1"/>
    <xf numFmtId="3" fontId="0" fillId="0" borderId="0" xfId="0" applyNumberFormat="1"/>
    <xf numFmtId="0" fontId="5" fillId="0" borderId="0" xfId="0" applyFont="1"/>
    <xf numFmtId="0" fontId="0" fillId="0" borderId="2" xfId="0" applyBorder="1"/>
    <xf numFmtId="0" fontId="6" fillId="0" borderId="2" xfId="0" applyFont="1" applyBorder="1"/>
    <xf numFmtId="10" fontId="3" fillId="0" borderId="1" xfId="0" applyNumberFormat="1" applyFon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I22"/>
  <sheetViews>
    <sheetView tabSelected="1" workbookViewId="0">
      <selection activeCell="H18" sqref="H18"/>
    </sheetView>
  </sheetViews>
  <sheetFormatPr defaultColWidth="12.6328125" defaultRowHeight="15.75" customHeight="1" x14ac:dyDescent="0.25"/>
  <cols>
    <col min="4" max="4" width="15.36328125" customWidth="1"/>
    <col min="7" max="7" width="22.26953125" bestFit="1" customWidth="1"/>
    <col min="9" max="9" width="18.7265625" bestFit="1" customWidth="1"/>
  </cols>
  <sheetData>
    <row r="3" spans="1:9" ht="15.75" customHeight="1" x14ac:dyDescent="0.35">
      <c r="A3" s="1" t="s">
        <v>0</v>
      </c>
      <c r="B3" s="1" t="s">
        <v>1</v>
      </c>
      <c r="C3" s="2" t="s">
        <v>2</v>
      </c>
      <c r="D3" s="3" t="s">
        <v>22</v>
      </c>
      <c r="E3" s="3"/>
    </row>
    <row r="4" spans="1:9" ht="15.75" customHeight="1" x14ac:dyDescent="0.35">
      <c r="A4" s="4" t="s">
        <v>3</v>
      </c>
      <c r="B4" s="5">
        <v>3249788</v>
      </c>
      <c r="C4" s="3">
        <f>B4*250</f>
        <v>812447000</v>
      </c>
      <c r="D4" s="11">
        <f>(C4/$G$5)</f>
        <v>0.23554838153209212</v>
      </c>
      <c r="E4" s="3"/>
      <c r="G4" s="10" t="s">
        <v>18</v>
      </c>
      <c r="I4" s="10" t="s">
        <v>17</v>
      </c>
    </row>
    <row r="5" spans="1:9" ht="15.75" customHeight="1" x14ac:dyDescent="0.35">
      <c r="A5" s="4" t="s">
        <v>4</v>
      </c>
      <c r="B5" s="5">
        <v>1817516</v>
      </c>
      <c r="C5" s="3">
        <f t="shared" ref="C5:C15" si="0">B5*250</f>
        <v>454379000</v>
      </c>
      <c r="D5" s="11">
        <f t="shared" ref="D5:D15" si="1">(C5/$G$5)</f>
        <v>0.1317356554361952</v>
      </c>
      <c r="E5" s="3"/>
      <c r="G5" s="9">
        <f>SUM(C4:C15)</f>
        <v>3449172500</v>
      </c>
      <c r="I5" s="9">
        <f>G5/B16</f>
        <v>250</v>
      </c>
    </row>
    <row r="6" spans="1:9" ht="15.75" customHeight="1" x14ac:dyDescent="0.35">
      <c r="A6" s="4" t="s">
        <v>5</v>
      </c>
      <c r="B6" s="5">
        <v>1897855</v>
      </c>
      <c r="C6" s="3">
        <f t="shared" si="0"/>
        <v>474463750</v>
      </c>
      <c r="D6" s="11">
        <f t="shared" si="1"/>
        <v>0.13755871879414555</v>
      </c>
    </row>
    <row r="7" spans="1:9" ht="15.75" customHeight="1" x14ac:dyDescent="0.35">
      <c r="A7" s="4" t="s">
        <v>6</v>
      </c>
      <c r="B7" s="5">
        <v>1632610</v>
      </c>
      <c r="C7" s="3">
        <f t="shared" si="0"/>
        <v>408152500</v>
      </c>
      <c r="D7" s="11">
        <f t="shared" si="1"/>
        <v>0.11833345534327437</v>
      </c>
    </row>
    <row r="8" spans="1:9" ht="15.75" customHeight="1" x14ac:dyDescent="0.35">
      <c r="A8" s="4" t="s">
        <v>7</v>
      </c>
      <c r="B8" s="5">
        <v>993235</v>
      </c>
      <c r="C8" s="3">
        <f t="shared" si="0"/>
        <v>248308750</v>
      </c>
      <c r="D8" s="11">
        <f t="shared" si="1"/>
        <v>7.1990818087526789E-2</v>
      </c>
    </row>
    <row r="9" spans="1:9" ht="15.75" customHeight="1" x14ac:dyDescent="0.35">
      <c r="A9" s="4" t="s">
        <v>8</v>
      </c>
      <c r="B9" s="5">
        <v>912588</v>
      </c>
      <c r="C9" s="3">
        <f t="shared" si="0"/>
        <v>228147000</v>
      </c>
      <c r="D9" s="11">
        <f t="shared" si="1"/>
        <v>6.6145430534425287E-2</v>
      </c>
    </row>
    <row r="10" spans="1:9" ht="15.75" customHeight="1" x14ac:dyDescent="0.35">
      <c r="A10" s="4" t="s">
        <v>9</v>
      </c>
      <c r="B10" s="5">
        <v>790596</v>
      </c>
      <c r="C10" s="3">
        <f t="shared" si="0"/>
        <v>197649000</v>
      </c>
      <c r="D10" s="11">
        <f t="shared" si="1"/>
        <v>5.7303309706893464E-2</v>
      </c>
    </row>
    <row r="11" spans="1:9" ht="15.75" customHeight="1" x14ac:dyDescent="0.35">
      <c r="A11" s="4" t="s">
        <v>10</v>
      </c>
      <c r="B11" s="5">
        <v>661251</v>
      </c>
      <c r="C11" s="3">
        <f t="shared" si="0"/>
        <v>165312750</v>
      </c>
      <c r="D11" s="11">
        <f t="shared" si="1"/>
        <v>4.7928234960704343E-2</v>
      </c>
      <c r="G11" s="8" t="s">
        <v>19</v>
      </c>
      <c r="H11" s="8" t="s">
        <v>20</v>
      </c>
      <c r="I11" s="8" t="s">
        <v>21</v>
      </c>
    </row>
    <row r="12" spans="1:9" ht="15.75" customHeight="1" x14ac:dyDescent="0.35">
      <c r="A12" s="4" t="s">
        <v>11</v>
      </c>
      <c r="B12" s="5">
        <v>552058</v>
      </c>
      <c r="C12" s="3">
        <f t="shared" si="0"/>
        <v>138014500</v>
      </c>
      <c r="D12" s="11">
        <f t="shared" si="1"/>
        <v>4.0013800411547985E-2</v>
      </c>
      <c r="G12" s="7">
        <f>MAX(B4:B15)</f>
        <v>3249788</v>
      </c>
      <c r="H12" s="7">
        <f>MIN(B4:B15)</f>
        <v>299596</v>
      </c>
      <c r="I12">
        <f>AVERAGE(C4:C15)</f>
        <v>287431041.66666669</v>
      </c>
    </row>
    <row r="13" spans="1:9" ht="15.75" customHeight="1" x14ac:dyDescent="0.35">
      <c r="A13" s="4" t="s">
        <v>12</v>
      </c>
      <c r="B13" s="5">
        <v>654021</v>
      </c>
      <c r="C13" s="3">
        <f t="shared" si="0"/>
        <v>163505250</v>
      </c>
      <c r="D13" s="11">
        <f t="shared" si="1"/>
        <v>4.7404196223876885E-2</v>
      </c>
    </row>
    <row r="14" spans="1:9" ht="14.5" x14ac:dyDescent="0.35">
      <c r="A14" s="4" t="s">
        <v>13</v>
      </c>
      <c r="B14" s="5">
        <v>335576</v>
      </c>
      <c r="C14" s="3">
        <f t="shared" si="0"/>
        <v>83894000</v>
      </c>
      <c r="D14" s="11">
        <f t="shared" si="1"/>
        <v>2.4322935428715147E-2</v>
      </c>
    </row>
    <row r="15" spans="1:9" ht="14.5" x14ac:dyDescent="0.35">
      <c r="A15" s="4" t="s">
        <v>14</v>
      </c>
      <c r="B15" s="5">
        <v>299596</v>
      </c>
      <c r="C15" s="3">
        <f t="shared" si="0"/>
        <v>74899000</v>
      </c>
      <c r="D15" s="11">
        <f t="shared" si="1"/>
        <v>2.1715063540602854E-2</v>
      </c>
      <c r="F15" s="6" t="s">
        <v>15</v>
      </c>
    </row>
    <row r="16" spans="1:9" ht="12.5" x14ac:dyDescent="0.25">
      <c r="A16" s="6" t="s">
        <v>16</v>
      </c>
      <c r="B16" s="7">
        <f>SUM(B4:B15)</f>
        <v>13796690</v>
      </c>
      <c r="D16" s="12">
        <f>SUM(D4:D15)</f>
        <v>0.99999999999999989</v>
      </c>
    </row>
    <row r="17" spans="3:7" ht="15.75" customHeight="1" x14ac:dyDescent="0.25">
      <c r="G17" s="8" t="s">
        <v>23</v>
      </c>
    </row>
    <row r="18" spans="3:7" ht="15.75" customHeight="1" x14ac:dyDescent="0.25">
      <c r="G18" s="7">
        <f>AVERAGE(B4:B15)</f>
        <v>1149724.1666666667</v>
      </c>
    </row>
    <row r="22" spans="3:7" ht="12.5" x14ac:dyDescent="0.25">
      <c r="C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Godha Pallavi</cp:lastModifiedBy>
  <dcterms:modified xsi:type="dcterms:W3CDTF">2026-01-26T02:29:58Z</dcterms:modified>
</cp:coreProperties>
</file>